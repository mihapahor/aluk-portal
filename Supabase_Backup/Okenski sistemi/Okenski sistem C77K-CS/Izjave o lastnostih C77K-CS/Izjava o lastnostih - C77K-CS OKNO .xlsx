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32" documentId="8_{EC687A0B-3E99-4DC0-9430-BC70179E30FE}" xr6:coauthVersionLast="47" xr6:coauthVersionMax="47" xr10:uidLastSave="{FF3B1925-7F30-411A-A849-2124BE80D7F8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<sst xmlns="http://schemas.openxmlformats.org/spreadsheetml/2006/main" count="65" uniqueCount="50">
  <si>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</si>
  <si>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</si>
  <si>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</si>
  <si>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okno</t>
  </si>
  <si>
    <t>2. Ime sistema</t>
  </si>
  <si>
    <t>C77K-CS</t>
  </si>
  <si>
    <t>3. Predvidena uporaba</t>
  </si>
  <si>
    <t>Aluminijasta okno,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</si>
  <si>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</si>
  <si>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</si>
  <si>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</si>
  <si>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</si>
  <si>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</si>
  <si>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</si>
  <si>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</si>
  <si>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</si>
  <si>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</si>
  <si>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</si>
  <si>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</si>
  <si>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</si>
  <si>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</si>
  <si>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</si>
  <si>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4   5</t>
  </si>
  <si>
    <t xml:space="preserve">Odpornost na udar vetra – poves        </t>
  </si>
  <si>
    <t>C   B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</si>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</sst>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" fillId="0" borderId="11" xfId="0" applyNumberFormat="1" applyFont="1" applyBorder="1" applyAlignment="1">
      <alignment horizontal="center" vertic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4" zoomScale="160" zoomScaleNormal="100" zoomScalePageLayoutView="160" workbookViewId="0">
      <selection activeCell="M35" sqref="M35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19" t="s">
        <v>16</v>
      </c>
      <c r="B26" s="20"/>
      <c r="C26" s="20"/>
      <c r="D26" s="20"/>
      <c r="E26" s="20"/>
      <c r="F26" s="20"/>
      <c r="G26" s="20"/>
      <c r="H26" s="20"/>
      <c r="I26" s="20"/>
    </row>
    <row r="27" spans="1:9">
      <c r="A27" s="20"/>
      <c r="B27" s="20"/>
      <c r="C27" s="20"/>
      <c r="D27" s="20"/>
      <c r="E27" s="20"/>
      <c r="F27" s="20"/>
      <c r="G27" s="20"/>
      <c r="H27" s="20"/>
      <c r="I27" s="20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41" t="s">
        <v>22</v>
      </c>
      <c r="F31" s="18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21" t="s">
        <v>24</v>
      </c>
      <c r="F32" s="22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21" t="s">
        <v>26</v>
      </c>
      <c r="F33" s="22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3" t="s">
        <v>28</v>
      </c>
      <c r="F34" s="24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21">
        <v>4</v>
      </c>
      <c r="F35" s="22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21" t="s">
        <v>31</v>
      </c>
      <c r="F36" s="22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21" t="s">
        <v>31</v>
      </c>
      <c r="F37" s="22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21" t="s">
        <v>31</v>
      </c>
      <c r="F38" s="22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25" t="s">
        <v>31</v>
      </c>
      <c r="F39" s="26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7" t="str">
        <f>'IZJAVA O LASTNOSTIH'!D2</f>
        <v>št. xxxx</v>
      </c>
      <c r="B1" s="28"/>
      <c r="C1" s="28"/>
      <c r="D1" s="29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3" t="s">
        <v>41</v>
      </c>
      <c r="B6" s="34"/>
      <c r="C6" s="34"/>
      <c r="D6" s="35"/>
    </row>
    <row r="7" spans="1:4">
      <c r="A7" s="36" t="s">
        <v>42</v>
      </c>
      <c r="B7" s="34"/>
      <c r="C7" s="34"/>
      <c r="D7" s="35"/>
    </row>
    <row r="8" spans="1:4" ht="15.75" thickBot="1">
      <c r="A8" s="11"/>
      <c r="B8" s="37">
        <v>10</v>
      </c>
      <c r="C8" s="37"/>
      <c r="D8" s="12"/>
    </row>
    <row r="9" spans="1:4">
      <c r="A9" s="38" t="str">
        <f>'IZJAVA O LASTNOSTIH'!A23</f>
        <v>EN 14351-1:2006+A1:2010</v>
      </c>
      <c r="B9" s="39"/>
      <c r="C9" s="39"/>
      <c r="D9" s="40"/>
    </row>
    <row r="10" spans="1:4">
      <c r="A10" s="52" t="str">
        <f>'IZJAVA O LASTNOSTIH'!A5</f>
        <v>Aluminijasta okno</v>
      </c>
      <c r="B10" s="42"/>
      <c r="C10" s="42"/>
      <c r="D10" s="10" t="str">
        <f>'IZJAVA O LASTNOSTIH'!A8</f>
        <v>C77K-CS</v>
      </c>
    </row>
    <row r="11" spans="1:4" ht="15.75" thickBot="1">
      <c r="A11" s="30" t="s">
        <v>43</v>
      </c>
      <c r="B11" s="31"/>
      <c r="C11" s="31"/>
      <c r="D11" s="32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4   5</v>
      </c>
    </row>
    <row r="15" spans="1:4">
      <c r="A15" s="6" t="s">
        <v>45</v>
      </c>
      <c r="D15" s="13" t="str">
        <f>'IZJAVA O LASTNOSTIH'!E32</f>
        <v>C   B</v>
      </c>
    </row>
    <row r="16" spans="1:4">
      <c r="A16" s="6" t="s">
        <v>46</v>
      </c>
      <c r="D16" s="13" t="str">
        <f>'IZJAVA O LASTNOSTIH'!E33</f>
        <v>E1200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ED415-881F-4EC1-BFE7-EBE174B90F25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10014FEB-5328-4669-BC92-442CA2DF3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
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.sharepoint.com/sites/Alumit/Dokumenti v skupni rabi/POPISI in OPISI SISTEMOV/Popisi (excel)/"/>
    </mc:Choice>
  </mc:AlternateContent>
  <xr:revisionPtr revIDLastSave="423" documentId="8_{DF909666-DDDD-4FD6-BF01-D62423DC2FED}" xr6:coauthVersionLast="47" xr6:coauthVersionMax="47" xr10:uidLastSave="{A8F111AB-7AE5-4753-953F-D63D31D06CF8}"/>
  <bookViews>
    <workbookView xWindow="-108" yWindow="-108" windowWidth="30936" windowHeight="16776" xr2:uid="{78DB8C7B-1484-464C-BD65-08B87EE8586B}"/>
  </bookViews>
  <sheets>
    <sheet name="C67K" sheetId="4" r:id="rId1"/>
    <sheet name="C77K" sheetId="5" r:id="rId2"/>
    <sheet name="C77K-CS" sheetId="6" r:id="rId3"/>
    <sheet name="D67" sheetId="7" r:id="rId4"/>
    <sheet name="D77" sheetId="8" r:id="rId5"/>
    <sheet name="SL50" sheetId="9" r:id="rId6"/>
    <sheet name="SG50" sheetId="10" r:id="rId7"/>
    <sheet name="SC156" sheetId="11" r:id="rId8"/>
    <sheet name="BSF70" sheetId="12" r:id="rId9"/>
    <sheet name="baza moznosti" sheetId="2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<sst xmlns="http://schemas.openxmlformats.org/spreadsheetml/2006/main" count="342" uniqueCount="98">
  <si>
    <t>Modul za izdelavo popisa sistema ALUK C67K TOP+</t>
  </si>
  <si>
    <t>OPIS SISTEMA IN OSNOVNI PODATKI:</t>
  </si>
  <si>
    <t>Sistem ALUK C67K TOP+  za izdelavo oken in balkonskih vrat z izboljšanimi termičnimi lastnostmi.
Globina osnovnih profilov je 67mm, globina kril je 77mm.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</si>
  <si>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</si>
  <si>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</si>
  <si>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</si>
  <si>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</si>
  <si>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</si>
  <si>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</si>
  <si>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</si>
  <si>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</si>
  <si>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</si>
  <si>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C5 po EN 12211 in EN 12210</t>
    </r>
  </si>
  <si>
    <t>MODUL ZA IZDELAVO OPISA POSAMEZNIH POZICIJ:</t>
  </si>
  <si>
    <t xml:space="preserve">1 Pozicija: </t>
  </si>
  <si>
    <t>VPIŠITE ŠTEVILKO POZICIJE</t>
  </si>
  <si>
    <t xml:space="preserve">2 Sistem </t>
  </si>
  <si>
    <t>ALUK C67K TOP+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</si>
  <si>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</si>
  <si>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</si>
  <si>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</si>
  <si>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</si>
  <si>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</si>
  <si>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</si>
  <si>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6 Vrsta zapiralnega okovja:</t>
  </si>
  <si>
    <t>vidno okovje</t>
  </si>
  <si>
    <t xml:space="preserve">7 Količina: </t>
  </si>
  <si>
    <t>VPIŠITE ŠTEVILO KOSOV</t>
  </si>
  <si>
    <t>kos</t>
  </si>
  <si>
    <t xml:space="preserve">8 Opombe: </t>
  </si>
  <si>
    <t>Modul za izdelavo popisa sistema ALUK C77K</t>
  </si>
  <si>
    <t>Sistem ALUK C77K  za izdelavo oken in balkonskih vrat z izboljšanimi termičnimi lastnostmi.
Globina osnovnih profilov je 77mm, globina kril je 87mm.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</si>
  <si>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C77K</t>
  </si>
  <si>
    <t>po shemi</t>
  </si>
  <si>
    <t>Modul za izdelavo popisa sistema ALUK C77K-CS</t>
  </si>
  <si>
    <t>Sistem ALUK C77K-CS  za izdelavo oken in balkonskih vrat z izboljšanimi termičnimi lastnostmi.
Globina osnovnih profilov je 77mm, globina kril je 87mm.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</si>
  <si>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C77K-CS</t>
  </si>
  <si>
    <t>Modul za izdelavo popisa sistema ALUK D67</t>
  </si>
  <si>
    <t>Sistem ALUK D67 za izdelavo vrat z izboljšanimi termičnimi lastnostmi.
Globina profilov je 67mm.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</si>
  <si>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2B po EN 1027 in EN 12208
Prepustnost zraka razred 4 po EN 1026 in EN12207
Odpornost na udar vetra C5 po EN 12211 in EN 12210</t>
    </r>
  </si>
  <si>
    <t>ALUK D67</t>
  </si>
  <si>
    <t xml:space="preserve">6 Količina: </t>
  </si>
  <si>
    <t xml:space="preserve">7 Opombe: </t>
  </si>
  <si>
    <t>Modul za izdelavo popisa sistema ALUK D77</t>
  </si>
  <si>
    <t>Sistem ALUK D67 za izdelavo vrat z izboljšanimi termičnimi lastnostmi.
Globina profilov je 77mm.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</si>
  <si>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D77</t>
  </si>
  <si>
    <t>Modul za izdelavo popisa sistema ALUK SL50</t>
  </si>
  <si>
    <t>Fasadni sistem steber-prečka s frontalno širino profila 50mm narejen za izvedbo kontinuiranih vertikalnih in nagnjenih fasad, streh ter zimskih vrtov. Serija obsega paleto profilov za izvedbo nosilnih struktur s statičnimi lastnostmi primernimi različnim konstrukcijskim zahtevam.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</si>
  <si>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</si>
  <si>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2000Pa po EN 12211 in EN 12210</t>
    </r>
  </si>
  <si>
    <t>ALUK SL50</t>
  </si>
  <si>
    <t>Modul za izdelavo popisa sistema ALUK SG50</t>
  </si>
  <si>
    <t>Sistem je primeren za izdelavo kontinuiranih obešenih fasad z odpirajočimi elementi v strukturni tipologiji.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</si>
  <si>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 ali T66
Sestava zlitine profilov po EN 573-3
Mehanske lastnosti profilov po EN 755-2
Tolerance profilov po EN 12020-2</t>
    </r>
  </si>
  <si>
    <t>ALUK SG50</t>
  </si>
  <si>
    <t>Modul za izdelavo popisa sistema ALUK SC156</t>
  </si>
  <si>
    <t>Drsno dvižni drsni sistem se uporablja za izdelavo drsnih sten. Ima prekinjen toplotni most z izboljšanimi termičnimi lastnostmi.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</si>
  <si>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C4 po EN 12211 in EN 12210</t>
    </r>
  </si>
  <si>
    <t>ALUK SC156</t>
  </si>
  <si>
    <t>Modul za izdelavo popisa sistema ALUK BSF70</t>
  </si>
  <si>
    <t>Drsno zgibni sistem. Ima prekinjen toplotni most in globino profilov 70mm. Z visokim pragom ali nizkim (15mm) poglobljenim pragom.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</si>
  <si>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ALUK BSF70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</si>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</sst>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95A8-F5DA-4EBB-B06C-ECB8030A0DF6}">
  <dimension ref="A1:R28"/>
  <sheetViews>
    <sheetView tabSelected="1" topLeftCell="A4" zoomScale="107" zoomScaleNormal="145" workbookViewId="0">
      <selection activeCell="C6" sqref="C6"/>
    </sheetView>
  </sheetViews>
  <sheetFormatPr defaultColWidth="9.109375" defaultRowHeight="14.4" x14ac:dyDescent="0.3"/>
  <cols>
    <col min="1" max="1" width="76.886718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0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01.6" x14ac:dyDescent="0.3">
      <c r="A4" s="14" t="s">
        <v>2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17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21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24</v>
      </c>
      <c r="B26" s="12"/>
      <c r="C26" s="9" t="s">
        <v>25</v>
      </c>
      <c r="D26" s="12"/>
      <c r="E26" s="12"/>
      <c r="F26" s="12"/>
    </row>
    <row r="27" spans="1:6" ht="15" thickBot="1" x14ac:dyDescent="0.35">
      <c r="A27" s="12" t="s">
        <v>26</v>
      </c>
      <c r="B27" s="12"/>
      <c r="C27" s="8" t="s">
        <v>27</v>
      </c>
      <c r="D27" s="12" t="s">
        <v>28</v>
      </c>
      <c r="E27" s="12"/>
      <c r="F27" s="12"/>
    </row>
    <row r="28" spans="1:6" ht="15" thickBot="1" x14ac:dyDescent="0.35">
      <c r="A28" s="13" t="s">
        <v>29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882A47AB-81B3-4D85-AB68-64C0AD1401A8}">
          <x14:formula1>
            <xm:f>'baza moznosti'!$D$2:$D$4</xm:f>
          </x14:formula1>
          <xm:sqref>C26</xm:sqref>
        </x14:dataValidation>
        <x14:dataValidation type="list" allowBlank="1" showInputMessage="1" showErrorMessage="1" prompt="Izberite možnost" xr:uid="{79462DE6-EF8B-46AC-8564-D0EB65B26DC7}">
          <x14:formula1>
            <xm:f>'baza moznosti'!$C$2:$C$13</xm:f>
          </x14:formula1>
          <xm:sqref>C24</xm:sqref>
        </x14:dataValidation>
        <x14:dataValidation type="list" allowBlank="1" showInputMessage="1" showErrorMessage="1" prompt="Izberite možnost" xr:uid="{C7061D4C-5EA4-4C8D-98BA-4FBD9E5275FB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9A01-8D64-49E1-BA30-7C226FA7C66E}">
  <dimension ref="A1:R28"/>
  <sheetViews>
    <sheetView zoomScale="107" zoomScaleNormal="145" workbookViewId="0">
      <selection activeCell="C13" sqref="C13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30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01.6" x14ac:dyDescent="0.3">
      <c r="A4" s="14" t="s">
        <v>31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32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24</v>
      </c>
      <c r="B26" s="12"/>
      <c r="C26" s="9" t="s">
        <v>25</v>
      </c>
      <c r="D26" s="12"/>
      <c r="E26" s="12"/>
      <c r="F26" s="12"/>
    </row>
    <row r="27" spans="1:6" ht="15" thickBot="1" x14ac:dyDescent="0.35">
      <c r="A27" s="12" t="s">
        <v>26</v>
      </c>
      <c r="B27" s="12"/>
      <c r="C27" s="8" t="s">
        <v>27</v>
      </c>
      <c r="D27" s="12" t="s">
        <v>28</v>
      </c>
      <c r="E27" s="12"/>
      <c r="F27" s="12"/>
    </row>
    <row r="28" spans="1:6" ht="15" thickBot="1" x14ac:dyDescent="0.35">
      <c r="A28" s="13" t="s">
        <v>29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C4856BA5-AD87-44E1-A7D6-A2F7E78BABAB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05A7103E-48F8-43E1-B7A6-1898F41D0F14}">
          <x14:formula1>
            <xm:f>'baza moznosti'!$E$2:$E$10</xm:f>
          </x14:formula1>
          <xm:sqref>C24</xm:sqref>
        </x14:dataValidation>
        <x14:dataValidation type="list" allowBlank="1" showInputMessage="1" showErrorMessage="1" prompt="Izberite možnost" xr:uid="{9105E7CA-3E81-48D5-84A2-313C39C3CC70}">
          <x14:formula1>
            <xm:f>'baza moznosti'!$D$2:$D$4</xm:f>
          </x14:formula1>
          <xm:sqref>C26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B4A6-01C6-4307-B6F0-2B2ACA53B521}">
  <dimension ref="A1:R28"/>
  <sheetViews>
    <sheetView zoomScale="107" zoomScaleNormal="145" workbookViewId="0">
      <selection activeCell="C24" sqref="C24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34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01.6" x14ac:dyDescent="0.3">
      <c r="A4" s="14" t="s">
        <v>35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36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24</v>
      </c>
      <c r="B26" s="12"/>
      <c r="C26" s="9" t="s">
        <v>25</v>
      </c>
      <c r="D26" s="12"/>
      <c r="E26" s="12"/>
      <c r="F26" s="12"/>
    </row>
    <row r="27" spans="1:6" ht="15" thickBot="1" x14ac:dyDescent="0.35">
      <c r="A27" s="12" t="s">
        <v>26</v>
      </c>
      <c r="B27" s="12"/>
      <c r="C27" s="8" t="s">
        <v>27</v>
      </c>
      <c r="D27" s="12" t="s">
        <v>28</v>
      </c>
      <c r="E27" s="12"/>
      <c r="F27" s="12"/>
    </row>
    <row r="28" spans="1:6" ht="15" thickBot="1" x14ac:dyDescent="0.35">
      <c r="A28" s="13" t="s">
        <v>29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22AC0F86-9620-4DF2-A604-21FB7021A221}">
          <x14:formula1>
            <xm:f>'baza moznosti'!$D$2:$D$4</xm:f>
          </x14:formula1>
          <xm:sqref>C26</xm:sqref>
        </x14:dataValidation>
        <x14:dataValidation type="list" allowBlank="1" showInputMessage="1" showErrorMessage="1" prompt="Izberite možnost" xr:uid="{04890BB0-B6C1-4758-B687-DAAFCE581A20}">
          <x14:formula1>
            <xm:f>'baza moznosti'!$F$2:$F$9</xm:f>
          </x14:formula1>
          <xm:sqref>C24</xm:sqref>
        </x14:dataValidation>
        <x14:dataValidation type="list" allowBlank="1" showInputMessage="1" showErrorMessage="1" prompt="Izberite možnost" xr:uid="{45C64263-F41E-4FB2-91AC-21C09AF5EC52}">
          <x14:formula1>
            <xm:f>'baza moznosti'!$B$2:$B$4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5B19-A1F1-4185-AB52-0BFD4B693AB4}">
  <dimension ref="A1:R27"/>
  <sheetViews>
    <sheetView zoomScale="107" zoomScaleNormal="145" workbookViewId="0">
      <selection activeCell="A17" sqref="A1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37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87.2" x14ac:dyDescent="0.3">
      <c r="A4" s="14" t="s">
        <v>38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39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40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3A960742-72F9-47D0-A801-B9DE1F287D7F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71A6A206-E3B6-4EBA-9CF4-4B3C9A5C4508}">
          <x14:formula1>
            <xm:f>'baza moznosti'!$G$2:$G$6</xm:f>
          </x14:formula1>
          <xm:sqref>C24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778B-B269-4664-B981-037693894F37}">
  <dimension ref="A1:R27"/>
  <sheetViews>
    <sheetView zoomScale="107" zoomScaleNormal="145" workbookViewId="0">
      <selection activeCell="A26" sqref="A26:A2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43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87.2" x14ac:dyDescent="0.3">
      <c r="A4" s="14" t="s">
        <v>44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39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45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352529F1-D4D2-4D5C-8043-18D23B81DA59}">
          <x14:formula1>
            <xm:f>'baza moznosti'!$G$2:$G$6</xm:f>
          </x14:formula1>
          <xm:sqref>C24</xm:sqref>
        </x14:dataValidation>
        <x14:dataValidation type="list" allowBlank="1" showInputMessage="1" showErrorMessage="1" prompt="Izberite možnost" xr:uid="{2FE2937E-0EF8-44DA-A50E-5D1504F2CE60}">
          <x14:formula1>
            <xm:f>'baza moznosti'!$B$2:$B$4</xm:f>
          </x14:formula1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20DC-E76A-4B0D-AF6F-B2D3517A1FC0}">
  <dimension ref="A1:R27"/>
  <sheetViews>
    <sheetView topLeftCell="A4" zoomScale="107" zoomScaleNormal="145" workbookViewId="0">
      <selection activeCell="E27" sqref="E27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46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41.95" customHeight="1" x14ac:dyDescent="0.3">
      <c r="A4" s="14" t="s">
        <v>47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48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49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50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zberite možnost" xr:uid="{6D8A00A2-C963-4CC3-8A2C-F0183D9AC871}">
          <x14:formula1>
            <xm:f>'baza moznosti'!$B$2:$B$4</xm:f>
          </x14:formula1>
          <xm:sqref>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52EF-067C-4CB3-B5E5-0D22F134798E}">
  <dimension ref="A1:R27"/>
  <sheetViews>
    <sheetView topLeftCell="A4" zoomScale="107" zoomScaleNormal="145" workbookViewId="0">
      <selection activeCell="E23" sqref="E23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51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87.2" x14ac:dyDescent="0.3">
      <c r="A4" s="14" t="s">
        <v>52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53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49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54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zberite možnost" xr:uid="{CA37A2C9-12CF-43E2-9096-EC76E7A3DE21}">
          <x14:formula1>
            <xm:f>'baza moznosti'!$B$2:$B$4</xm:f>
          </x14:formula1>
          <xm:sqref>C6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DEA-1E65-430B-B58E-9B245DA9BBDB}">
  <dimension ref="A1:R27"/>
  <sheetViews>
    <sheetView topLeftCell="A4" zoomScale="107" zoomScaleNormal="145" workbookViewId="0">
      <selection activeCell="C23" sqref="C23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55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87.2" x14ac:dyDescent="0.3">
      <c r="A4" s="14" t="s">
        <v>56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57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58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492338CB-C958-42B9-9E4F-8282405B5181}">
          <x14:formula1>
            <xm:f>'baza moznosti'!$J$2:$J$11</xm:f>
          </x14:formula1>
          <xm:sqref>C24</xm:sqref>
        </x14:dataValidation>
        <x14:dataValidation type="list" allowBlank="1" showInputMessage="1" showErrorMessage="1" prompt="Izberite možnost" xr:uid="{8B654BDA-3751-47E4-B80F-660A96F69DC1}">
          <x14:formula1>
            <xm:f>'baza moznosti'!$B$2:$B$4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9120-8669-442B-82A7-47315AA83163}">
  <dimension ref="A1:R27"/>
  <sheetViews>
    <sheetView zoomScale="107" zoomScaleNormal="145" workbookViewId="0">
      <selection activeCell="C24" sqref="C24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59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87.2" x14ac:dyDescent="0.3">
      <c r="A4" s="14" t="s">
        <v>60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57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61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33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41</v>
      </c>
      <c r="B26" s="12"/>
      <c r="C26" s="8" t="s">
        <v>27</v>
      </c>
      <c r="D26" s="12" t="s">
        <v>28</v>
      </c>
      <c r="E26" s="12"/>
      <c r="F26" s="12"/>
    </row>
    <row r="27" spans="1:6" ht="15" thickBot="1" x14ac:dyDescent="0.35">
      <c r="A27" s="13" t="s">
        <v>42</v>
      </c>
      <c r="B27" s="13"/>
      <c r="C27" s="6"/>
      <c r="D27" s="15"/>
      <c r="E27" s="15"/>
      <c r="F27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Izberite možnost" xr:uid="{05BD60F7-0E05-45CF-A35F-22A8F08916F5}">
          <x14:formula1>
            <xm:f>'baza moznosti'!$B$2:$B$4</xm:f>
          </x14:formula1>
          <xm:sqref>C6</xm:sqref>
        </x14:dataValidation>
        <x14:dataValidation type="list" allowBlank="1" showInputMessage="1" showErrorMessage="1" prompt="Izberite možnost" xr:uid="{46E1344A-B9DF-4771-BAAA-57C8D0B25AA4}">
          <x14:formula1>
            <xm:f>'baza moznosti'!$K$2:$K$7</xm:f>
          </x14:formula1>
          <xm:sqref>C24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</row>
    <row r="2" spans="2:11" x14ac:dyDescent="0.3">
      <c r="B2" s="1" t="s">
        <v>70</v>
      </c>
      <c r="C2" t="s">
        <v>33</v>
      </c>
      <c r="D2" s="5" t="s">
        <v>25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</row>
    <row r="3" spans="2:11" x14ac:dyDescent="0.3">
      <c r="B3" s="1" t="s">
        <v>4</v>
      </c>
      <c r="C3" t="s">
        <v>71</v>
      </c>
      <c r="D3" s="5" t="s">
        <v>72</v>
      </c>
      <c r="E3" t="s">
        <v>71</v>
      </c>
      <c r="F3" t="s">
        <v>71</v>
      </c>
      <c r="G3" t="s">
        <v>73</v>
      </c>
      <c r="H3" t="s">
        <v>74</v>
      </c>
      <c r="I3" t="s">
        <v>74</v>
      </c>
      <c r="J3" t="s">
        <v>75</v>
      </c>
      <c r="K3" t="s">
        <v>74</v>
      </c>
    </row>
    <row r="4" spans="2:11" x14ac:dyDescent="0.3">
      <c r="B4" s="2" t="s">
        <v>76</v>
      </c>
      <c r="C4" t="s">
        <v>77</v>
      </c>
      <c r="D4" s="5" t="s">
        <v>78</v>
      </c>
      <c r="E4" t="s">
        <v>77</v>
      </c>
      <c r="F4" t="s">
        <v>77</v>
      </c>
      <c r="G4" t="s">
        <v>79</v>
      </c>
      <c r="H4" t="s">
        <v>80</v>
      </c>
      <c r="I4" t="s">
        <v>80</v>
      </c>
      <c r="J4" t="s">
        <v>81</v>
      </c>
      <c r="K4" t="s">
        <v>82</v>
      </c>
    </row>
    <row r="5" spans="2:11" x14ac:dyDescent="0.3">
      <c r="C5" t="s">
        <v>83</v>
      </c>
      <c r="E5" t="s">
        <v>83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86</v>
      </c>
    </row>
    <row r="6" spans="2:11" x14ac:dyDescent="0.3">
      <c r="C6" t="s">
        <v>88</v>
      </c>
      <c r="E6" t="s">
        <v>88</v>
      </c>
      <c r="F6" t="s">
        <v>88</v>
      </c>
      <c r="G6" t="s">
        <v>89</v>
      </c>
      <c r="H6" t="s">
        <v>89</v>
      </c>
      <c r="I6" t="s">
        <v>85</v>
      </c>
      <c r="J6" t="s">
        <v>90</v>
      </c>
      <c r="K6" t="s">
        <v>85</v>
      </c>
    </row>
    <row r="7" spans="2:11" x14ac:dyDescent="0.3">
      <c r="C7" t="s">
        <v>91</v>
      </c>
      <c r="E7" t="s">
        <v>91</v>
      </c>
      <c r="F7" t="s">
        <v>91</v>
      </c>
      <c r="I7" t="s">
        <v>89</v>
      </c>
      <c r="J7" t="s">
        <v>92</v>
      </c>
      <c r="K7" t="s">
        <v>89</v>
      </c>
    </row>
    <row r="8" spans="2:11" x14ac:dyDescent="0.3">
      <c r="C8" t="s">
        <v>93</v>
      </c>
      <c r="E8" t="s">
        <v>93</v>
      </c>
      <c r="F8" t="s">
        <v>93</v>
      </c>
      <c r="J8" t="s">
        <v>94</v>
      </c>
    </row>
    <row r="9" spans="2:11" x14ac:dyDescent="0.3">
      <c r="C9" t="s">
        <v>21</v>
      </c>
      <c r="E9" t="s">
        <v>21</v>
      </c>
      <c r="F9" t="s">
        <v>89</v>
      </c>
      <c r="J9" t="s">
        <v>95</v>
      </c>
    </row>
    <row r="10" spans="2:11" x14ac:dyDescent="0.3">
      <c r="C10" t="s">
        <v>96</v>
      </c>
      <c r="E10" t="s">
        <v>89</v>
      </c>
      <c r="J10" t="s">
        <v>92</v>
      </c>
    </row>
    <row r="11" spans="2:11" x14ac:dyDescent="0.3">
      <c r="C11" t="s">
        <v>97</v>
      </c>
      <c r="J11" t="s">
        <v>89</v>
      </c>
    </row>
    <row r="12" spans="2:11" x14ac:dyDescent="0.3">
      <c r="C12" t="s">
        <v>85</v>
      </c>
    </row>
    <row r="13" spans="2:11" x14ac:dyDescent="0.3">
      <c r="C13" t="s">
        <v>89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Props1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C67K</vt:lpstr>
      <vt:lpstr>C77K</vt:lpstr>
      <vt:lpstr>C77K-CS</vt:lpstr>
      <vt:lpstr>D67</vt:lpstr>
      <vt:lpstr>D77</vt:lpstr>
      <vt:lpstr>SL50</vt:lpstr>
      <vt:lpstr>SG50</vt:lpstr>
      <vt:lpstr>SC156</vt:lpstr>
      <vt:lpstr>BSF70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2023-01-17T08:47:55Z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